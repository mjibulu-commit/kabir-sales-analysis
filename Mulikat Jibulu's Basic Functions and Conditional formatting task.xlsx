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MULIKAT'S IOTB\"/>
    </mc:Choice>
  </mc:AlternateContent>
  <xr:revisionPtr revIDLastSave="0" documentId="13_ncr:1_{B9900D0A-63D2-4FD8-BFD7-25FDCB22F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D33" i="1"/>
  <c r="D55" i="1"/>
  <c r="D56" i="1"/>
  <c r="D57" i="1"/>
  <c r="D58" i="1"/>
  <c r="D54" i="1"/>
  <c r="D45" i="1"/>
  <c r="D46" i="1"/>
  <c r="D47" i="1"/>
  <c r="D48" i="1"/>
  <c r="D44" i="1"/>
  <c r="F40" i="1"/>
  <c r="F39" i="1"/>
  <c r="E36" i="1"/>
  <c r="F36" i="1"/>
  <c r="D36" i="1"/>
  <c r="D30" i="1"/>
  <c r="J21" i="1"/>
  <c r="I21" i="1"/>
  <c r="J20" i="1"/>
  <c r="I20" i="1"/>
  <c r="J19" i="1"/>
  <c r="I19" i="1"/>
  <c r="J18" i="1"/>
  <c r="I18" i="1"/>
  <c r="J17" i="1"/>
  <c r="I17" i="1"/>
  <c r="J16" i="1"/>
  <c r="P5" i="1"/>
  <c r="P6" i="1"/>
  <c r="P7" i="1"/>
  <c r="P8" i="1"/>
  <c r="P4" i="1"/>
  <c r="O17" i="1"/>
  <c r="O18" i="1"/>
  <c r="O19" i="1"/>
  <c r="O20" i="1"/>
  <c r="O16" i="1"/>
  <c r="N17" i="1"/>
  <c r="N18" i="1"/>
  <c r="N19" i="1"/>
  <c r="N20" i="1"/>
  <c r="N16" i="1"/>
  <c r="J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I9" i="1" s="1"/>
  <c r="C3" i="1"/>
  <c r="S18" i="1" s="1"/>
  <c r="T17" i="1" l="1"/>
  <c r="T19" i="1"/>
  <c r="I8" i="1"/>
  <c r="F33" i="1"/>
  <c r="E33" i="1"/>
  <c r="J5" i="1"/>
  <c r="I7" i="1"/>
  <c r="U21" i="1"/>
  <c r="S19" i="1"/>
  <c r="K9" i="1"/>
  <c r="K6" i="1"/>
  <c r="T21" i="1"/>
  <c r="U18" i="1"/>
  <c r="J9" i="1"/>
  <c r="J6" i="1"/>
  <c r="S21" i="1"/>
  <c r="T18" i="1"/>
  <c r="I6" i="1"/>
  <c r="U20" i="1"/>
  <c r="K8" i="1"/>
  <c r="T20" i="1"/>
  <c r="J8" i="1"/>
  <c r="S17" i="1"/>
  <c r="S20" i="1"/>
  <c r="I5" i="1"/>
  <c r="U17" i="1"/>
  <c r="U19" i="1"/>
  <c r="K5" i="1"/>
  <c r="K7" i="1"/>
</calcChain>
</file>

<file path=xl/sharedStrings.xml><?xml version="1.0" encoding="utf-8"?>
<sst xmlns="http://schemas.openxmlformats.org/spreadsheetml/2006/main" count="106" uniqueCount="43">
  <si>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</si>
  <si>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</si>
  <si>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</si>
  <si>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</si>
  <si>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</si>
  <si>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</si>
  <si>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</si>
  <si>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</si>
  <si>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</si>
  <si>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</si>
  <si>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</si>
  <si>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</si>
  <si>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</si>
  <si>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</si>
  <si>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</si>
  <si>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</si>
  <si>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</si>
  <si>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</si>
  <si>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</si>
  <si>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</si>
  <si>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</si>
  <si>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</si>
  <si>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</si>
  <si>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</si>
  <si>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</si>
  <si>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1. Inventory Impact</t>
  </si>
  <si>
    <t xml:space="preserve">Total quantity sold across all years </t>
  </si>
  <si>
    <t xml:space="preserve">Total quantity sold per year </t>
  </si>
  <si>
    <t>a.</t>
  </si>
  <si>
    <t>b.</t>
  </si>
  <si>
    <t>c.</t>
  </si>
  <si>
    <t>Average quantity sold per year</t>
  </si>
  <si>
    <t>2. Performance Extremes</t>
  </si>
  <si>
    <t>Highest transaction amount</t>
  </si>
  <si>
    <t>Lowest transacetion amount</t>
  </si>
  <si>
    <t>3. Representative Activity</t>
  </si>
  <si>
    <t>Number of transaction per sales rep</t>
  </si>
  <si>
    <r>
      <t>Most active rep is</t>
    </r>
    <r>
      <rPr>
        <b/>
        <sz val="11"/>
        <color theme="1"/>
        <rFont val="Calibri"/>
        <family val="2"/>
        <scheme val="minor"/>
      </rPr>
      <t xml:space="preserve"> Tola</t>
    </r>
    <r>
      <rPr>
        <sz val="11"/>
        <color theme="1"/>
        <rFont val="Calibri"/>
        <family val="2"/>
        <scheme val="minor"/>
      </rPr>
      <t xml:space="preserve"> as she had the highest number of transaction</t>
    </r>
  </si>
  <si>
    <t>4. Financial contribution</t>
  </si>
  <si>
    <t>Sale rep</t>
  </si>
  <si>
    <t>Total revenue</t>
  </si>
  <si>
    <t>5. Yearly Trends</t>
  </si>
  <si>
    <t>Quanty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</si>
</sst>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43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 applyFill="1" applyBorder="1"/>
    <xf numFmtId="0" fontId="8" fillId="0" borderId="0" xfId="0" applyFont="1" applyFill="1" applyBorder="1"/>
    <xf numFmtId="0" fontId="3" fillId="0" borderId="0" xfId="0" applyFont="1"/>
    <xf numFmtId="1" fontId="0" fillId="0" borderId="0" xfId="0" applyNumberFormat="1"/>
    <xf numFmtId="0" fontId="5" fillId="3" borderId="19" xfId="0" applyFont="1" applyFill="1" applyBorder="1"/>
    <xf numFmtId="4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B8FF6-764D-4A59-8C4C-8B9889A04AE1}" name="Table2" displayName="Table2" ref="D61:E64" totalsRowShown="0">
  <autoFilter ref="D61:E64" xr:uid="{A14B8FF6-764D-4A59-8C4C-8B9889A04AE1}"/>
  <tableColumns count="2">
    <tableColumn id="1" xr3:uid="{8EE4E6BA-E38B-4B43-9432-FD1088E51F72}" name="Year"/>
    <tableColumn id="2" xr3:uid="{5A2AC9A3-3CBD-42BE-AC38-F704DE99C928}" name="Quanty sold" dataDxfId="3">
      <calculatedColumnFormula>SUMIF($C$3:$C$26,D$32,$E$3:E26)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workbookViewId="0">
      <selection activeCell="I5" sqref="I5"/>
    </sheetView>
  </sheetViews>
  <sheetFormatPr defaultRowHeight="14.4" x14ac:dyDescent="0.3"/>
  <cols>
    <col min="2" max="2" width="10.109375" bestFit="1" customWidth="1"/>
    <col min="4" max="4" width="13.77734375" customWidth="1"/>
    <col min="5" max="5" width="16.33203125" bestFit="1" customWidth="1"/>
    <col min="6" max="6" width="9.109375" bestFit="1" customWidth="1"/>
    <col min="7" max="7" width="15.6640625" bestFit="1" customWidth="1"/>
    <col min="9" max="11" width="10.33203125" bestFit="1" customWidth="1"/>
    <col min="15" max="15" width="10.44140625" customWidth="1"/>
  </cols>
  <sheetData>
    <row r="1" spans="1:21" ht="24.6" x14ac:dyDescent="0.4">
      <c r="A1" s="30" t="s">
        <v>0</v>
      </c>
      <c r="B1" s="30"/>
      <c r="C1" s="30"/>
      <c r="D1" s="30"/>
      <c r="E1" s="30"/>
      <c r="F1" s="30"/>
    </row>
    <row r="2" spans="1:21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41"/>
    </row>
    <row r="3" spans="1:21" ht="15" thickBot="1" x14ac:dyDescent="0.3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</row>
    <row r="4" spans="1:2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4" t="s">
        <v>12</v>
      </c>
      <c r="O4" s="13" t="s">
        <v>13</v>
      </c>
      <c r="P4" s="14">
        <f>COUNTIF($D$3:$D$26,$O4)</f>
        <v>6</v>
      </c>
    </row>
    <row r="5" spans="1:2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SUMIFS($F$3:$F$26,$D$3:$D$26,$H5,$C$3:$C$26,I$4)</f>
        <v>12320</v>
      </c>
      <c r="J5" s="25">
        <f t="shared" ref="J5:K9" si="1">SUMIFS($F$3:$F$26,$D$3:$D$26,$H5,$C$3:$C$26,J$4)</f>
        <v>23100</v>
      </c>
      <c r="K5" s="25">
        <f t="shared" si="1"/>
        <v>25520</v>
      </c>
      <c r="N5" s="35"/>
      <c r="O5" s="13" t="s">
        <v>7</v>
      </c>
      <c r="P5" s="14">
        <f t="shared" ref="P5:P8" si="2">COUNTIF($D$3:$D$26,$O5)</f>
        <v>3</v>
      </c>
    </row>
    <row r="6" spans="1:2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 t="shared" ref="I6:I9" si="3">SUMIFS($F$3:$F$26,$D$3:$D$26,$H6,$C$3:$C$26,I$4)</f>
        <v>16720</v>
      </c>
      <c r="J6" s="25">
        <f t="shared" si="1"/>
        <v>6160</v>
      </c>
      <c r="K6" s="25">
        <f t="shared" si="1"/>
        <v>7920</v>
      </c>
      <c r="N6" s="35"/>
      <c r="O6" s="13" t="s">
        <v>15</v>
      </c>
      <c r="P6" s="14">
        <f t="shared" si="2"/>
        <v>5</v>
      </c>
    </row>
    <row r="7" spans="1:2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 t="shared" si="3"/>
        <v>26840</v>
      </c>
      <c r="J7" s="25">
        <f>S1</f>
        <v>0</v>
      </c>
      <c r="K7" s="25">
        <f t="shared" si="1"/>
        <v>15840</v>
      </c>
      <c r="N7" s="35"/>
      <c r="O7" s="13" t="s">
        <v>18</v>
      </c>
      <c r="P7" s="14">
        <f t="shared" si="2"/>
        <v>3</v>
      </c>
    </row>
    <row r="8" spans="1:21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 t="shared" si="3"/>
        <v>19800</v>
      </c>
      <c r="J8" s="25">
        <f t="shared" si="1"/>
        <v>20900</v>
      </c>
      <c r="K8" s="25">
        <f t="shared" si="1"/>
        <v>11440</v>
      </c>
      <c r="N8" s="36"/>
      <c r="O8" s="17" t="s">
        <v>11</v>
      </c>
      <c r="P8" s="14">
        <f t="shared" si="2"/>
        <v>7</v>
      </c>
    </row>
    <row r="9" spans="1:21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 t="shared" si="3"/>
        <v>29040</v>
      </c>
      <c r="J9" s="25">
        <f t="shared" si="1"/>
        <v>33440</v>
      </c>
      <c r="K9" s="25">
        <f t="shared" si="1"/>
        <v>20240</v>
      </c>
    </row>
    <row r="10" spans="1:2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3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3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1" t="s">
        <v>8</v>
      </c>
      <c r="I14" s="32"/>
      <c r="J14" s="33"/>
    </row>
    <row r="15" spans="1:21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4" t="s">
        <v>23</v>
      </c>
      <c r="M16" s="13" t="s">
        <v>13</v>
      </c>
      <c r="N16" s="13">
        <f>SUMIF($D$3:$D$26, $M16,$E$3:$E$26)</f>
        <v>277</v>
      </c>
      <c r="O16" s="13">
        <f>SUMIF($D$3:$D$26,$M16,$F$3:$F$26)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5"/>
      <c r="M17" s="13" t="s">
        <v>7</v>
      </c>
      <c r="N17" s="13">
        <f t="shared" ref="N17:N20" si="4">SUMIF($D$3:$D$26, $M17,$E$3:$E$26)</f>
        <v>140</v>
      </c>
      <c r="O17" s="13">
        <f t="shared" ref="O17:O20" si="5">SUMIF($D$3:$D$26,$M17,$F$3:$F$26)</f>
        <v>30800</v>
      </c>
      <c r="R17" s="24" t="s">
        <v>13</v>
      </c>
      <c r="S17" s="25">
        <f>SUMIFS($E$3:$E$26,$D$3:$D$26,$R17,$C$3:$C$26,S$16)</f>
        <v>56</v>
      </c>
      <c r="T17" s="25">
        <f t="shared" ref="T17:U21" si="6">SUMIFS($E$3:$E$26,$D$3:$D$26,$R17,$C$3:$C$26,T$16)</f>
        <v>105</v>
      </c>
      <c r="U17" s="25">
        <f t="shared" si="6"/>
        <v>116</v>
      </c>
    </row>
    <row r="18" spans="1:21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5"/>
      <c r="M18" s="13" t="s">
        <v>15</v>
      </c>
      <c r="N18" s="13">
        <f t="shared" si="4"/>
        <v>194</v>
      </c>
      <c r="O18" s="13">
        <f t="shared" si="5"/>
        <v>42680</v>
      </c>
      <c r="R18" s="24" t="s">
        <v>7</v>
      </c>
      <c r="S18" s="25">
        <f t="shared" ref="S18:S21" si="7">SUMIFS($E$3:$E$26,$D$3:$D$26,$R18,$C$3:$C$26,S$16)</f>
        <v>76</v>
      </c>
      <c r="T18" s="25">
        <f t="shared" si="6"/>
        <v>28</v>
      </c>
      <c r="U18" s="25">
        <f t="shared" si="6"/>
        <v>36</v>
      </c>
    </row>
    <row r="19" spans="1:21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5"/>
      <c r="M19" s="13" t="s">
        <v>18</v>
      </c>
      <c r="N19" s="13">
        <f t="shared" si="4"/>
        <v>237</v>
      </c>
      <c r="O19" s="13">
        <f t="shared" si="5"/>
        <v>52140</v>
      </c>
      <c r="R19" s="24" t="s">
        <v>15</v>
      </c>
      <c r="S19" s="25">
        <f t="shared" si="7"/>
        <v>122</v>
      </c>
      <c r="T19" s="25">
        <f t="shared" si="6"/>
        <v>0</v>
      </c>
      <c r="U19" s="25">
        <f t="shared" si="6"/>
        <v>72</v>
      </c>
    </row>
    <row r="20" spans="1:21" ht="15" thickBot="1" x14ac:dyDescent="0.3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36"/>
      <c r="M20" s="17" t="s">
        <v>11</v>
      </c>
      <c r="N20" s="13">
        <f t="shared" si="4"/>
        <v>376</v>
      </c>
      <c r="O20" s="13">
        <f t="shared" si="5"/>
        <v>82720</v>
      </c>
      <c r="R20" s="24" t="s">
        <v>18</v>
      </c>
      <c r="S20" s="25">
        <f t="shared" si="7"/>
        <v>90</v>
      </c>
      <c r="T20" s="25">
        <f t="shared" si="6"/>
        <v>95</v>
      </c>
      <c r="U20" s="25">
        <f t="shared" si="6"/>
        <v>52</v>
      </c>
    </row>
    <row r="21" spans="1:21" ht="15" thickBot="1" x14ac:dyDescent="0.3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 t="shared" si="7"/>
        <v>132</v>
      </c>
      <c r="T21" s="25">
        <f t="shared" si="6"/>
        <v>152</v>
      </c>
      <c r="U21" s="25">
        <f t="shared" si="6"/>
        <v>92</v>
      </c>
    </row>
    <row r="22" spans="1:21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  <row r="28" spans="1:21" x14ac:dyDescent="0.3">
      <c r="D28" s="38" t="s">
        <v>25</v>
      </c>
      <c r="E28" s="39"/>
    </row>
    <row r="29" spans="1:21" x14ac:dyDescent="0.3">
      <c r="C29" t="s">
        <v>28</v>
      </c>
      <c r="D29" s="37" t="s">
        <v>26</v>
      </c>
    </row>
    <row r="30" spans="1:21" x14ac:dyDescent="0.3">
      <c r="D30">
        <f>SUM(E3:E26)</f>
        <v>1224</v>
      </c>
    </row>
    <row r="31" spans="1:21" x14ac:dyDescent="0.3">
      <c r="C31" t="s">
        <v>29</v>
      </c>
      <c r="D31" s="37" t="s">
        <v>27</v>
      </c>
    </row>
    <row r="32" spans="1:21" x14ac:dyDescent="0.3">
      <c r="D32">
        <v>2010</v>
      </c>
      <c r="E32">
        <v>2011</v>
      </c>
      <c r="F32">
        <v>2012</v>
      </c>
    </row>
    <row r="33" spans="3:6" x14ac:dyDescent="0.3">
      <c r="C33" t="s">
        <v>10</v>
      </c>
      <c r="D33">
        <f>SUMIF($C$3:$C$26,D$32,$E$3:E26)</f>
        <v>476</v>
      </c>
      <c r="E33">
        <f>SUMIF($C$3:$C$26,E$32,$E$3:F26)</f>
        <v>380</v>
      </c>
      <c r="F33">
        <f>SUMIF($C$3:$C$26,F$32,$E$3:G26)</f>
        <v>368</v>
      </c>
    </row>
    <row r="34" spans="3:6" x14ac:dyDescent="0.3">
      <c r="C34" t="s">
        <v>30</v>
      </c>
      <c r="D34" t="s">
        <v>31</v>
      </c>
    </row>
    <row r="35" spans="3:6" x14ac:dyDescent="0.3">
      <c r="D35">
        <v>2010</v>
      </c>
      <c r="E35">
        <v>2011</v>
      </c>
      <c r="F35">
        <v>2012</v>
      </c>
    </row>
    <row r="36" spans="3:6" x14ac:dyDescent="0.3">
      <c r="C36" t="s">
        <v>10</v>
      </c>
      <c r="D36" s="40">
        <f>AVERAGEIF($C$3:$C$26,D$35,$E$3:$E$26)</f>
        <v>52.888888888888886</v>
      </c>
      <c r="E36" s="40">
        <f t="shared" ref="E36:F36" si="8">AVERAGEIF($C$3:$C$26,E$35,$E$3:$E$26)</f>
        <v>63.333333333333336</v>
      </c>
      <c r="F36" s="40">
        <f t="shared" si="8"/>
        <v>40.888888888888886</v>
      </c>
    </row>
    <row r="38" spans="3:6" x14ac:dyDescent="0.3">
      <c r="D38" s="39" t="s">
        <v>32</v>
      </c>
      <c r="E38" s="39"/>
      <c r="F38" s="39"/>
    </row>
    <row r="39" spans="3:6" x14ac:dyDescent="0.3">
      <c r="C39" t="s">
        <v>28</v>
      </c>
      <c r="D39" t="s">
        <v>33</v>
      </c>
      <c r="F39" s="42">
        <f>MAX(F3:F26)</f>
        <v>20900</v>
      </c>
    </row>
    <row r="40" spans="3:6" x14ac:dyDescent="0.3">
      <c r="C40" t="s">
        <v>29</v>
      </c>
      <c r="D40" t="s">
        <v>34</v>
      </c>
      <c r="F40" s="42">
        <f>MIN(F3:F26)</f>
        <v>5280</v>
      </c>
    </row>
    <row r="42" spans="3:6" x14ac:dyDescent="0.3">
      <c r="D42" s="39" t="s">
        <v>35</v>
      </c>
      <c r="E42" s="39"/>
    </row>
    <row r="43" spans="3:6" x14ac:dyDescent="0.3">
      <c r="C43" t="s">
        <v>28</v>
      </c>
      <c r="D43" t="s">
        <v>36</v>
      </c>
    </row>
    <row r="44" spans="3:6" x14ac:dyDescent="0.3">
      <c r="C44" t="s">
        <v>13</v>
      </c>
      <c r="D44">
        <f>COUNTIF($D$3:$D$26,$C44)</f>
        <v>6</v>
      </c>
    </row>
    <row r="45" spans="3:6" x14ac:dyDescent="0.3">
      <c r="C45" t="s">
        <v>7</v>
      </c>
      <c r="D45">
        <f t="shared" ref="D45:D48" si="9">COUNTIF($D$3:$D$26,$C45)</f>
        <v>3</v>
      </c>
    </row>
    <row r="46" spans="3:6" x14ac:dyDescent="0.3">
      <c r="C46" t="s">
        <v>15</v>
      </c>
      <c r="D46">
        <f t="shared" si="9"/>
        <v>5</v>
      </c>
    </row>
    <row r="47" spans="3:6" x14ac:dyDescent="0.3">
      <c r="C47" t="s">
        <v>18</v>
      </c>
      <c r="D47">
        <f t="shared" si="9"/>
        <v>3</v>
      </c>
    </row>
    <row r="48" spans="3:6" x14ac:dyDescent="0.3">
      <c r="C48" t="s">
        <v>11</v>
      </c>
      <c r="D48">
        <f t="shared" si="9"/>
        <v>7</v>
      </c>
    </row>
    <row r="50" spans="3:5" x14ac:dyDescent="0.3">
      <c r="C50" t="s">
        <v>29</v>
      </c>
      <c r="D50" t="s">
        <v>37</v>
      </c>
    </row>
    <row r="52" spans="3:5" x14ac:dyDescent="0.3">
      <c r="D52" s="39" t="s">
        <v>38</v>
      </c>
      <c r="E52" s="39"/>
    </row>
    <row r="53" spans="3:5" x14ac:dyDescent="0.3">
      <c r="C53" t="s">
        <v>39</v>
      </c>
      <c r="D53" t="s">
        <v>40</v>
      </c>
    </row>
    <row r="54" spans="3:5" x14ac:dyDescent="0.3">
      <c r="C54" t="s">
        <v>13</v>
      </c>
      <c r="D54">
        <f>SUMIF($D$3:$D$26,$C54,$F$3:$F$26)</f>
        <v>60940</v>
      </c>
    </row>
    <row r="55" spans="3:5" x14ac:dyDescent="0.3">
      <c r="C55" t="s">
        <v>7</v>
      </c>
      <c r="D55">
        <f t="shared" ref="D55:D58" si="10">SUMIF($D$3:$D$26,$C55,$F$3:$F$26)</f>
        <v>30800</v>
      </c>
    </row>
    <row r="56" spans="3:5" x14ac:dyDescent="0.3">
      <c r="C56" t="s">
        <v>15</v>
      </c>
      <c r="D56">
        <f t="shared" si="10"/>
        <v>42680</v>
      </c>
    </row>
    <row r="57" spans="3:5" x14ac:dyDescent="0.3">
      <c r="C57" t="s">
        <v>18</v>
      </c>
      <c r="D57">
        <f t="shared" si="10"/>
        <v>52140</v>
      </c>
    </row>
    <row r="58" spans="3:5" x14ac:dyDescent="0.3">
      <c r="C58" t="s">
        <v>11</v>
      </c>
      <c r="D58">
        <f t="shared" si="10"/>
        <v>82720</v>
      </c>
    </row>
    <row r="60" spans="3:5" x14ac:dyDescent="0.3">
      <c r="D60" s="39" t="s">
        <v>41</v>
      </c>
    </row>
    <row r="61" spans="3:5" x14ac:dyDescent="0.3">
      <c r="D61" t="s">
        <v>3</v>
      </c>
      <c r="E61" t="s">
        <v>42</v>
      </c>
    </row>
    <row r="62" spans="3:5" x14ac:dyDescent="0.3">
      <c r="D62">
        <v>2010</v>
      </c>
      <c r="E62">
        <v>476</v>
      </c>
    </row>
    <row r="63" spans="3:5" x14ac:dyDescent="0.3">
      <c r="D63">
        <v>2011</v>
      </c>
      <c r="E63">
        <v>380</v>
      </c>
    </row>
    <row r="64" spans="3:5" x14ac:dyDescent="0.3">
      <c r="D64">
        <v>2012</v>
      </c>
      <c r="E64">
        <v>368</v>
      </c>
    </row>
  </sheetData>
  <mergeCells count="6">
    <mergeCell ref="L16:L20"/>
    <mergeCell ref="I3:K3"/>
    <mergeCell ref="A1:F1"/>
    <mergeCell ref="H14:J14"/>
    <mergeCell ref="N4:N8"/>
    <mergeCell ref="S15:U15"/>
  </mergeCells>
  <phoneticPr fontId="9" type="noConversion"/>
  <conditionalFormatting sqref="F3:F26">
    <cfRule type="cellIs" dxfId="0" priority="2" operator="greaterThan">
      <formula>15000</formula>
    </cfRule>
    <cfRule type="cellIs" dxfId="1" priority="1" operator="lessThan">
      <formula>6000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Mulikat Jibulu</cp:lastModifiedBy>
  <dcterms:created xsi:type="dcterms:W3CDTF">2024-05-08T21:08:42Z</dcterms:created>
  <dcterms:modified xsi:type="dcterms:W3CDTF">2026-05-02T19:49:45Z</dcterms:modified>
</cp:coreProperties>
</file>